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idema\Downloads\"/>
    </mc:Choice>
  </mc:AlternateContent>
  <xr:revisionPtr revIDLastSave="0" documentId="13_ncr:1_{261C1B33-96BD-4217-91B4-5E266D6CF609}" xr6:coauthVersionLast="47" xr6:coauthVersionMax="47" xr10:uidLastSave="{00000000-0000-0000-0000-000000000000}"/>
  <bookViews>
    <workbookView xWindow="-108" yWindow="-108" windowWidth="23256" windowHeight="12456" xr2:uid="{489A997C-8251-43A0-AE26-DD3116FB5DF8}"/>
  </bookViews>
  <sheets>
    <sheet name="Welcome!" sheetId="1" r:id="rId1"/>
    <sheet name="Pivot Table Private Ind." sheetId="3" r:id="rId2"/>
  </sheets>
  <definedNames>
    <definedName name="_xlcn.WorksheetConnection_Space_Compliace_Framework.xlsmTable21" hidden="1">Table2[]</definedName>
    <definedName name="Roles">'Welcome!'!$B$10:$B$12</definedName>
    <definedName name="Roles1">'Welcome!'!$B$19:$B$21</definedName>
  </definedNames>
  <calcPr calcId="191029"/>
  <pivotCaches>
    <pivotCache cacheId="1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2" name="Table2" connection="WorksheetConnection_Space_Compliace_Framework.xlsm!Table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7" i="1" l="1"/>
  <c r="H71" i="1"/>
  <c r="H65" i="1"/>
  <c r="J15" i="1"/>
  <c r="J14" i="1"/>
  <c r="J13" i="1"/>
  <c r="J43" i="1"/>
  <c r="J42" i="1"/>
  <c r="J41" i="1"/>
  <c r="J40" i="1"/>
  <c r="J26" i="1"/>
  <c r="J25" i="1"/>
  <c r="J24" i="1"/>
  <c r="J2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04306A-853E-4353-9FF3-B72C40A044DF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1BC5AA9-A039-4D20-812E-330E44D1FC93}" name="WorksheetConnection_Space_Compliace_Framework.xlsm!Table2" type="102" refreshedVersion="8" minRefreshableVersion="5">
    <extLst>
      <ext xmlns:x15="http://schemas.microsoft.com/office/spreadsheetml/2010/11/main" uri="{DE250136-89BD-433C-8126-D09CA5730AF9}">
        <x15:connection id="Table2" autoDelete="1">
          <x15:rangePr sourceName="_xlcn.WorksheetConnection_Space_Compliace_Framework.xlsmTable21"/>
        </x15:connection>
      </ext>
    </extLst>
  </connection>
</connections>
</file>

<file path=xl/sharedStrings.xml><?xml version="1.0" encoding="utf-8"?>
<sst xmlns="http://schemas.openxmlformats.org/spreadsheetml/2006/main" count="184" uniqueCount="73">
  <si>
    <t>Welcome to the Space Compliance Tool!</t>
  </si>
  <si>
    <t>Private Section Questionare</t>
  </si>
  <si>
    <t>Question</t>
  </si>
  <si>
    <t>Score</t>
  </si>
  <si>
    <t>1A</t>
  </si>
  <si>
    <t>1B</t>
  </si>
  <si>
    <t>2A</t>
  </si>
  <si>
    <t>2B</t>
  </si>
  <si>
    <t>2C</t>
  </si>
  <si>
    <t>3A</t>
  </si>
  <si>
    <t>3B</t>
  </si>
  <si>
    <t>3C</t>
  </si>
  <si>
    <t>1C</t>
  </si>
  <si>
    <t>1D</t>
  </si>
  <si>
    <t>2D</t>
  </si>
  <si>
    <t>4A</t>
  </si>
  <si>
    <t>4B</t>
  </si>
  <si>
    <t>5A</t>
  </si>
  <si>
    <t>AVG SCORE</t>
  </si>
  <si>
    <t>5B</t>
  </si>
  <si>
    <t>5C</t>
  </si>
  <si>
    <t>6A</t>
  </si>
  <si>
    <t>6B</t>
  </si>
  <si>
    <t>6C</t>
  </si>
  <si>
    <t>7A</t>
  </si>
  <si>
    <t>8A</t>
  </si>
  <si>
    <t>8B</t>
  </si>
  <si>
    <t>8C</t>
  </si>
  <si>
    <t>Companies Evaluated</t>
  </si>
  <si>
    <t>Company</t>
  </si>
  <si>
    <t>Industry</t>
  </si>
  <si>
    <t>AVG Compliance Score</t>
  </si>
  <si>
    <t>Category</t>
  </si>
  <si>
    <t>Training</t>
  </si>
  <si>
    <t>Documentation</t>
  </si>
  <si>
    <t>Action</t>
  </si>
  <si>
    <t>Total Score</t>
  </si>
  <si>
    <t>Documentation Score</t>
  </si>
  <si>
    <t>Training Score</t>
  </si>
  <si>
    <t>Action Score</t>
  </si>
  <si>
    <t>Training  Score</t>
  </si>
  <si>
    <t>Rocket Launch</t>
  </si>
  <si>
    <t>Satelllite Comm.</t>
  </si>
  <si>
    <t>Commercial Travel</t>
  </si>
  <si>
    <t>Relativity</t>
  </si>
  <si>
    <t>Categories</t>
  </si>
  <si>
    <t>Satellite Communications</t>
  </si>
  <si>
    <t>Rocket Launches</t>
  </si>
  <si>
    <t>Row Labels</t>
  </si>
  <si>
    <t>Grand Total</t>
  </si>
  <si>
    <t>Min of Training  Score</t>
  </si>
  <si>
    <t>Min of Documentation Score</t>
  </si>
  <si>
    <t xml:space="preserve">Organization </t>
  </si>
  <si>
    <t>Public Organizations Evaluated</t>
  </si>
  <si>
    <t xml:space="preserve">Please fill either the Private Section or Public Section portion of the Space Compliance Framework </t>
  </si>
  <si>
    <t>Public Organizations</t>
  </si>
  <si>
    <t>FCC</t>
  </si>
  <si>
    <t>FAA</t>
  </si>
  <si>
    <t>OSC</t>
  </si>
  <si>
    <t>Public Organization  Questionaire</t>
  </si>
  <si>
    <t>AVG Score</t>
  </si>
  <si>
    <t>Starlink</t>
  </si>
  <si>
    <t>Viasat</t>
  </si>
  <si>
    <t>EchoStar</t>
  </si>
  <si>
    <t>Capella Space</t>
  </si>
  <si>
    <t>Speedcast</t>
  </si>
  <si>
    <t>Ursa Space</t>
  </si>
  <si>
    <t>Akash Systems</t>
  </si>
  <si>
    <t>KVH Industries Inc</t>
  </si>
  <si>
    <t>ORBCOMM</t>
  </si>
  <si>
    <t>Average of AVG Compliance Score</t>
  </si>
  <si>
    <t>SpaceX</t>
  </si>
  <si>
    <t>Boeing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</si>
</sst>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theme="5" tint="0.79998168889431442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">
    <xf numFmtId="0" fontId="0" fillId="0" borderId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1" fillId="3" borderId="0" applyNumberFormat="0" applyBorder="0" applyAlignment="0" applyProtection="0"/>
    <xf numFmtId="0" fontId="5" fillId="0" borderId="0" applyNumberFormat="0" applyFill="0" applyBorder="0" applyAlignment="0" applyProtection="0"/>
  </cellStyleXfs>
  <cellXfs count="15">
    <xf numFmtId="0" fontId="0" fillId="0" borderId="0" xfId="0"/>
    <xf numFmtId="0" fontId="1" fillId="3" borderId="0" xfId="4"/>
    <xf numFmtId="0" fontId="3" fillId="2" borderId="2" xfId="2"/>
    <xf numFmtId="0" fontId="5" fillId="3" borderId="0" xfId="5" applyFill="1" applyAlignment="1">
      <alignment vertical="center" wrapText="1"/>
    </xf>
    <xf numFmtId="0" fontId="5" fillId="3" borderId="0" xfId="5" applyFill="1" applyAlignment="1">
      <alignment horizontal="center" vertical="center" wrapText="1"/>
    </xf>
    <xf numFmtId="164" fontId="3" fillId="2" borderId="2" xfId="2" applyNumberFormat="1"/>
    <xf numFmtId="0" fontId="6" fillId="3" borderId="0" xfId="4" applyFont="1"/>
    <xf numFmtId="0" fontId="0" fillId="0" borderId="0" xfId="0" pivotButton="1"/>
    <xf numFmtId="0" fontId="0" fillId="0" borderId="0" xfId="0" applyAlignment="1">
      <alignment horizontal="left"/>
    </xf>
    <xf numFmtId="0" fontId="4" fillId="3" borderId="0" xfId="4" applyFont="1"/>
    <xf numFmtId="0" fontId="2" fillId="3" borderId="1" xfId="1" applyFill="1" applyAlignment="1">
      <alignment horizontal="center"/>
    </xf>
    <xf numFmtId="0" fontId="4" fillId="3" borderId="3" xfId="3" applyFill="1" applyAlignment="1">
      <alignment horizontal="center" wrapText="1"/>
    </xf>
    <xf numFmtId="0" fontId="4" fillId="3" borderId="3" xfId="3" applyFill="1" applyAlignment="1">
      <alignment horizontal="center" vertical="center" wrapText="1"/>
    </xf>
    <xf numFmtId="0" fontId="2" fillId="3" borderId="1" xfId="1" applyFill="1" applyAlignment="1">
      <alignment horizontal="center" vertical="center"/>
    </xf>
    <xf numFmtId="2" fontId="1" fillId="3" borderId="0" xfId="4" applyNumberFormat="1"/>
  </cellXfs>
  <cellStyles count="6">
    <cellStyle name="20% - Accent2" xfId="4" builtinId="34"/>
    <cellStyle name="Heading 1" xfId="1" builtinId="16"/>
    <cellStyle name="Heading 4" xfId="5" builtinId="19"/>
    <cellStyle name="Normal" xfId="0" builtinId="0"/>
    <cellStyle name="Output" xfId="2" builtinId="21"/>
    <cellStyle name="Total" xfId="3" builtinId="25"/>
  </cellStyles>
  <dxfs count="35">
    <dxf>
      <fill>
        <patternFill patternType="solid">
          <bgColor theme="9" tint="0.79995117038483843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[Space_Compliace_Framework.xlsm]Pivot Table Private Ind.!PivotTable2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 Private Ind.'!$B$3</c:f>
              <c:strCache>
                <c:ptCount val="1"/>
                <c:pt idx="0">
                  <c:v>Min of Training  Score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Private Ind.'!$A$4:$A$13</c:f>
              <c:strCache>
                <c:ptCount val="9"/>
                <c:pt idx="0">
                  <c:v>Akash Systems</c:v>
                </c:pt>
                <c:pt idx="1">
                  <c:v>Capella Space</c:v>
                </c:pt>
                <c:pt idx="2">
                  <c:v>EchoStar</c:v>
                </c:pt>
                <c:pt idx="3">
                  <c:v>KVH Industries Inc</c:v>
                </c:pt>
                <c:pt idx="4">
                  <c:v>ORBCOMM</c:v>
                </c:pt>
                <c:pt idx="5">
                  <c:v>Speedcast</c:v>
                </c:pt>
                <c:pt idx="6">
                  <c:v>Starlink</c:v>
                </c:pt>
                <c:pt idx="7">
                  <c:v>Ursa Space</c:v>
                </c:pt>
                <c:pt idx="8">
                  <c:v>Viasat</c:v>
                </c:pt>
              </c:strCache>
            </c:strRef>
          </c:cat>
          <c:val>
            <c:numRef>
              <c:f>'Pivot Table Private Ind.'!$B$4:$B$13</c:f>
              <c:numCache>
                <c:formatCode>General</c:formatCode>
                <c:ptCount val="9"/>
                <c:pt idx="0">
                  <c:v>1.6666666666666667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</c:v>
                </c:pt>
                <c:pt idx="4">
                  <c:v>2.6666666666666665</c:v>
                </c:pt>
                <c:pt idx="5">
                  <c:v>2.3333333333333335</c:v>
                </c:pt>
                <c:pt idx="6">
                  <c:v>2.3333333333333335</c:v>
                </c:pt>
                <c:pt idx="7">
                  <c:v>1.6666666666666667</c:v>
                </c:pt>
                <c:pt idx="8">
                  <c:v>2.3333333333333335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DB-49C4-8E87-405CC6E0CE3C}"/>
            </c:ext>
          </c:extLst>
        </c:ser>
        <c:ser>
          <c:idx val="1"/>
          <c:order val="1"/>
          <c:tx>
            <c:strRef>
              <c:f>'Pivot Table Private Ind.'!$C$3</c:f>
              <c:strCache>
                <c:ptCount val="1"/>
                <c:pt idx="0">
                  <c:v>Min of Documentation Score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Private Ind.'!$A$4:$A$13</c:f>
              <c:strCache>
                <c:ptCount val="9"/>
                <c:pt idx="0">
                  <c:v>Akash Systems</c:v>
                </c:pt>
                <c:pt idx="1">
                  <c:v>Capella Space</c:v>
                </c:pt>
                <c:pt idx="2">
                  <c:v>EchoStar</c:v>
                </c:pt>
                <c:pt idx="3">
                  <c:v>KVH Industries Inc</c:v>
                </c:pt>
                <c:pt idx="4">
                  <c:v>ORBCOMM</c:v>
                </c:pt>
                <c:pt idx="5">
                  <c:v>Speedcast</c:v>
                </c:pt>
                <c:pt idx="6">
                  <c:v>Starlink</c:v>
                </c:pt>
                <c:pt idx="7">
                  <c:v>Ursa Space</c:v>
                </c:pt>
                <c:pt idx="8">
                  <c:v>Viasat</c:v>
                </c:pt>
              </c:strCache>
            </c:strRef>
          </c:cat>
          <c:val>
            <c:numRef>
              <c:f>'Pivot Table Private Ind.'!$C$4:$C$13</c:f>
              <c:numCache>
                <c:formatCode>General</c:formatCode>
                <c:ptCount val="9"/>
                <c:pt idx="0">
                  <c:v>1</c:v>
                </c:pt>
                <c:pt idx="1">
                  <c:v>2.4</c:v>
                </c:pt>
                <c:pt idx="2">
                  <c:v>2.2000000000000002</c:v>
                </c:pt>
                <c:pt idx="3">
                  <c:v>2.4</c:v>
                </c:pt>
                <c:pt idx="4">
                  <c:v>2.4</c:v>
                </c:pt>
                <c:pt idx="5">
                  <c:v>2</c:v>
                </c:pt>
                <c:pt idx="6">
                  <c:v>2.8</c:v>
                </c:pt>
                <c:pt idx="7">
                  <c:v>2</c:v>
                </c:pt>
                <c:pt idx="8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DB-49C4-8E87-405CC6E0CE3C}"/>
            </c:ext>
          </c:extLst>
        </c:ser>
        <c:ser>
          <c:idx val="2"/>
          <c:order val="2"/>
          <c:tx>
            <c:strRef>
              <c:f>'Pivot Table Private Ind.'!$D$3</c:f>
              <c:strCache>
                <c:ptCount val="1"/>
                <c:pt idx="0">
                  <c:v>Average of AVG Compliance Score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Private Ind.'!$A$4:$A$13</c:f>
              <c:strCache>
                <c:ptCount val="9"/>
                <c:pt idx="0">
                  <c:v>Akash Systems</c:v>
                </c:pt>
                <c:pt idx="1">
                  <c:v>Capella Space</c:v>
                </c:pt>
                <c:pt idx="2">
                  <c:v>EchoStar</c:v>
                </c:pt>
                <c:pt idx="3">
                  <c:v>KVH Industries Inc</c:v>
                </c:pt>
                <c:pt idx="4">
                  <c:v>ORBCOMM</c:v>
                </c:pt>
                <c:pt idx="5">
                  <c:v>Speedcast</c:v>
                </c:pt>
                <c:pt idx="6">
                  <c:v>Starlink</c:v>
                </c:pt>
                <c:pt idx="7">
                  <c:v>Ursa Space</c:v>
                </c:pt>
                <c:pt idx="8">
                  <c:v>Viasat</c:v>
                </c:pt>
              </c:strCache>
            </c:strRef>
          </c:cat>
          <c:val>
            <c:numRef>
              <c:f>'Pivot Table Private Ind.'!$D$4:$D$13</c:f>
              <c:numCache>
                <c:formatCode>General</c:formatCode>
                <c:ptCount val="9"/>
                <c:pt idx="0">
                  <c:v>1.25</c:v>
                </c:pt>
                <c:pt idx="1">
                  <c:v>2.125</c:v>
                </c:pt>
                <c:pt idx="2">
                  <c:v>2</c:v>
                </c:pt>
                <c:pt idx="3">
                  <c:v>1.875</c:v>
                </c:pt>
                <c:pt idx="4">
                  <c:v>2.5</c:v>
                </c:pt>
                <c:pt idx="5">
                  <c:v>2.125</c:v>
                </c:pt>
                <c:pt idx="6">
                  <c:v>2.625</c:v>
                </c:pt>
                <c:pt idx="7">
                  <c:v>1.875</c:v>
                </c:pt>
                <c:pt idx="8">
                  <c:v>2.375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DB-49C4-8E87-405CC6E0C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79680975"/>
        <c:axId val="1782471663"/>
      </c:barChart>
      <c:catAx>
        <c:axId val="17796809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471663"/>
        <c:crosses val="autoZero"/>
        <c:auto val="1"/>
        <c:lblAlgn val="ctr"/>
        <c:lblOffset val="100"/>
        <c:noMultiLvlLbl val="0"/>
      </c:catAx>
      <c:valAx>
        <c:axId val="1782471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680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1</xdr:row>
          <xdr:rowOff>175260</xdr:rowOff>
        </xdr:from>
        <xdr:to>
          <xdr:col>10</xdr:col>
          <xdr:colOff>312420</xdr:colOff>
          <xdr:row>4</xdr:row>
          <xdr:rowOff>38100</xdr:rowOff>
        </xdr:to>
        <xdr:sp macro="" textlink="">
          <xdr:nvSpPr>
            <xdr:cNvPr id="1031" name="CommandButton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426720</xdr:colOff>
          <xdr:row>2</xdr:row>
          <xdr:rowOff>68580</xdr:rowOff>
        </xdr:from>
        <xdr:to>
          <xdr:col>18</xdr:col>
          <xdr:colOff>155898</xdr:colOff>
          <xdr:row>4</xdr:row>
          <xdr:rowOff>144780</xdr:rowOff>
        </xdr:to>
        <xdr:sp macro="" textlink="">
          <xdr:nvSpPr>
            <xdr:cNvPr id="1032" name="CommandButton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129540</xdr:colOff>
      <xdr:row>2</xdr:row>
      <xdr:rowOff>3810</xdr:rowOff>
    </xdr:from>
    <xdr:to>
      <xdr:col>11</xdr:col>
      <xdr:colOff>434340</xdr:colOff>
      <xdr:row>17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rael Demandel" refreshedDate="45458.849593171297" backgroundQuery="1" createdVersion="8" refreshedVersion="8" minRefreshableVersion="3" recordCount="0" supportSubquery="1" supportAdvancedDrill="1" xr:uid="{15BAB3D1-90D7-45CC-8838-B93B8AC70CAC}">
  <cacheSource type="external" connectionId="1"/>
  <cacheFields count="4">
    <cacheField name="[Measures].[Min of Training  Score]" caption="Min of Training  Score" numFmtId="0" hierarchy="8" level="32767"/>
    <cacheField name="[Measures].[Min of Documentation Score]" caption="Min of Documentation Score" numFmtId="0" hierarchy="10" level="32767"/>
    <cacheField name="[Table2].[Company].[Company]" caption="Company" numFmtId="0" level="1">
      <sharedItems count="9">
        <s v="Akash Systems"/>
        <s v="Capella Space"/>
        <s v="EchoStar"/>
        <s v="KVH Industries Inc"/>
        <s v="ORBCOMM"/>
        <s v="Speedcast"/>
        <s v="Starlink"/>
        <s v="Ursa Space"/>
        <s v="Viasat"/>
      </sharedItems>
      <extLst>
        <ext xmlns:x15="http://schemas.microsoft.com/office/spreadsheetml/2010/11/main" uri="{4F2E5C28-24EA-4eb8-9CBF-B6C8F9C3D259}">
          <x15:cachedUniqueNames>
            <x15:cachedUniqueName index="0" name="[Table2].[Company].&amp;[Akash Systems]"/>
            <x15:cachedUniqueName index="1" name="[Table2].[Company].&amp;[Capella Space]"/>
            <x15:cachedUniqueName index="2" name="[Table2].[Company].&amp;[EchoStar]"/>
            <x15:cachedUniqueName index="3" name="[Table2].[Company].&amp;[KVH Industries Inc]"/>
            <x15:cachedUniqueName index="4" name="[Table2].[Company].&amp;[ORBCOMM]"/>
            <x15:cachedUniqueName index="5" name="[Table2].[Company].&amp;[Speedcast]"/>
            <x15:cachedUniqueName index="6" name="[Table2].[Company].&amp;[Starlink]"/>
            <x15:cachedUniqueName index="7" name="[Table2].[Company].&amp;[Ursa Space]"/>
            <x15:cachedUniqueName index="8" name="[Table2].[Company].&amp;[Viasat]"/>
          </x15:cachedUniqueNames>
        </ext>
      </extLst>
    </cacheField>
    <cacheField name="[Measures].[Average of AVG Compliance Score]" caption="Average of AVG Compliance Score" numFmtId="0" hierarchy="12" level="32767"/>
  </cacheFields>
  <cacheHierarchies count="13">
    <cacheHierarchy uniqueName="[Table2].[Company]" caption="Company" attribute="1" defaultMemberUniqueName="[Table2].[Company].[All]" allUniqueName="[Table2].[Company].[All]" dimensionUniqueName="[Table2]" displayFolder="" count="2" memberValueDatatype="130" unbalanced="0">
      <fieldsUsage count="2">
        <fieldUsage x="-1"/>
        <fieldUsage x="2"/>
      </fieldsUsage>
    </cacheHierarchy>
    <cacheHierarchy uniqueName="[Table2].[Industry]" caption="Industry" attribute="1" defaultMemberUniqueName="[Table2].[Industry].[All]" allUniqueName="[Table2].[Industry].[All]" dimensionUniqueName="[Table2]" displayFolder="" count="0" memberValueDatatype="130" unbalanced="0"/>
    <cacheHierarchy uniqueName="[Table2].[AVG Compliance Score]" caption="AVG Compliance Score" attribute="1" defaultMemberUniqueName="[Table2].[AVG Compliance Score].[All]" allUniqueName="[Table2].[AVG Compliance Score].[All]" dimensionUniqueName="[Table2]" displayFolder="" count="0" memberValueDatatype="5" unbalanced="0"/>
    <cacheHierarchy uniqueName="[Table2].[Documentation Score]" caption="Documentation Score" attribute="1" defaultMemberUniqueName="[Table2].[Documentation Score].[All]" allUniqueName="[Table2].[Documentation Score].[All]" dimensionUniqueName="[Table2]" displayFolder="" count="0" memberValueDatatype="5" unbalanced="0"/>
    <cacheHierarchy uniqueName="[Table2].[Training  Score]" caption="Training  Score" attribute="1" defaultMemberUniqueName="[Table2].[Training  Score].[All]" allUniqueName="[Table2].[Training  Score].[All]" dimensionUniqueName="[Table2]" displayFolder="" count="0" memberValueDatatype="5" unbalanced="0"/>
    <cacheHierarchy uniqueName="[Table2].[Action Score]" caption="Action Score" attribute="1" defaultMemberUniqueName="[Table2].[Action Score].[All]" allUniqueName="[Table2].[Action Score].[All]" dimensionUniqueName="[Table2]" displayFolder="" count="0" memberValueDatatype="130" unbalanced="0"/>
    <cacheHierarchy uniqueName="[Measures].[__XL_Count Table2]" caption="__XL_Count Table2" measure="1" displayFolder="" measureGroup="Table2" count="0" hidden="1"/>
    <cacheHierarchy uniqueName="[Measures].[__No measures defined]" caption="__No measures defined" measure="1" displayFolder="" count="0" hidden="1"/>
    <cacheHierarchy uniqueName="[Measures].[Min of Training  Score]" caption="Min of Training  Score" measure="1" displayFolder="" measureGroup="Table2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in of Action Score]" caption="Min of Action Score" measure="1" displayFolder="" measureGroup="Table2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in of Documentation Score]" caption="Min of Documentation Score" measure="1" displayFolder="" measureGroup="Table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AVG Compliance Score]" caption="Sum of AVG Compliance Score" measure="1" displayFolder="" measureGroup="Table2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Average of AVG Compliance Score]" caption="Average of AVG Compliance Score" measure="1" displayFolder="" measureGroup="Table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2" uniqueName="[Table2]" caption="Table2"/>
  </dimensions>
  <measureGroups count="1">
    <measureGroup name="Table2" caption="Table2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FBBB4E-B477-4131-9937-E4194B8954DE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D13" firstHeaderRow="0" firstDataRow="1" firstDataCol="1"/>
  <pivotFields count="4"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dataField="1" subtotalTop="0" showAll="0" defaultSubtota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in of Training  Score" fld="0" subtotal="min" baseField="0" baseItem="0"/>
    <dataField name="Min of Documentation Score" fld="1" subtotal="min" baseField="0" baseItem="0"/>
    <dataField name="Average of AVG Compliance Score" fld="3" subtotal="average" baseField="2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Average of AVG Compliance Score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pace_Compliace_Framework.xlsm!Table2">
        <x15:activeTabTopLevelEntity name="[Table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6B6A31E-C284-48D1-93B9-E3F35C3F64D9}" name="Table2" displayName="Table2" ref="L9:Q74" totalsRowShown="0" dataCellStyle="20% - Accent2">
  <autoFilter ref="L9:Q74" xr:uid="{66B6A31E-C284-48D1-93B9-E3F35C3F64D9}"/>
  <sortState xmlns:xlrd2="http://schemas.microsoft.com/office/spreadsheetml/2017/richdata2" ref="L10:Q74">
    <sortCondition descending="1" ref="L9:L74"/>
  </sortState>
  <tableColumns count="6">
    <tableColumn id="1" xr3:uid="{E302B430-3E84-419C-8E58-3094ED80F634}" name="Company" dataCellStyle="20% - Accent2"/>
    <tableColumn id="2" xr3:uid="{48EE716A-5339-4075-BFAD-F3AE16018172}" name="Industry" dataCellStyle="20% - Accent2"/>
    <tableColumn id="3" xr3:uid="{4146572F-3BFE-4146-8704-E4D18A0076B7}" name="AVG Compliance Score" dataCellStyle="20% - Accent2"/>
    <tableColumn id="4" xr3:uid="{AF2B1C29-6320-4E0A-8829-60EDA344D2BF}" name="Documentation Score" dataCellStyle="20% - Accent2"/>
    <tableColumn id="5" xr3:uid="{C207095B-3869-4D44-9AB9-6038537BD29D}" name="Training  Score" dataCellStyle="20% - Accent2"/>
    <tableColumn id="6" xr3:uid="{C6928C95-7959-42EF-A615-D86739983A39}" name="Action Score" dataCellStyle="20% - Accent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5445E8-C976-4096-9D6E-4DBBD16D32C8}" name="Table1" displayName="Table1" ref="E9:G17" totalsRowShown="0" headerRowCellStyle="Output" dataCellStyle="Output">
  <autoFilter ref="E9:G17" xr:uid="{955445E8-C976-4096-9D6E-4DBBD16D32C8}"/>
  <tableColumns count="3">
    <tableColumn id="1" xr3:uid="{287F2473-F2FD-4327-BB31-0B1AA174E9F0}" name="Category" dataCellStyle="Output"/>
    <tableColumn id="2" xr3:uid="{2138678D-A455-4007-B2EF-4329A6DC7E2F}" name="Question" dataCellStyle="Output"/>
    <tableColumn id="3" xr3:uid="{8B522509-F3D7-4DF7-8A30-5DF01CD9E534}" name="Score" dataCellStyle="Outpu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8979D18-C550-4224-8DD5-2672937102BE}" name="Table3" displayName="Table3" ref="S9:T24" totalsRowShown="0" headerRowCellStyle="20% - Accent2" dataCellStyle="20% - Accent2">
  <autoFilter ref="S9:T24" xr:uid="{58979D18-C550-4224-8DD5-2672937102BE}"/>
  <sortState xmlns:xlrd2="http://schemas.microsoft.com/office/spreadsheetml/2017/richdata2" ref="S10:T24">
    <sortCondition descending="1" ref="S9:S24"/>
  </sortState>
  <tableColumns count="2">
    <tableColumn id="1" xr3:uid="{5A19B895-6B3B-4E56-9549-444B04116876}" name="Organization " dataCellStyle="20% - Accent2"/>
    <tableColumn id="3" xr3:uid="{01C98166-C5C2-4084-A6EB-E08C2FAD7F80}" name="AVG Compliance Score" dataCellStyle="20% - Accent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3.xml"/><Relationship Id="rId4" Type="http://schemas.openxmlformats.org/officeDocument/2006/relationships/control" Target="../activeX/activeX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1F8F8-5A49-419A-A293-4AA436598BFE}">
  <sheetPr codeName="Sheet1"/>
  <dimension ref="B3:T80"/>
  <sheetViews>
    <sheetView tabSelected="1" topLeftCell="B1" zoomScale="79" zoomScaleNormal="85" workbookViewId="0">
      <selection activeCell="N15" sqref="N15"/>
    </sheetView>
  </sheetViews>
  <sheetFormatPr defaultRowHeight="14.4" x14ac:dyDescent="0.3"/>
  <cols>
    <col min="1" max="1" width="8.5546875" style="1" customWidth="1"/>
    <col min="2" max="4" width="8.88671875" style="1"/>
    <col min="5" max="5" width="13.44140625" style="1" bestFit="1" customWidth="1"/>
    <col min="6" max="6" width="10.5546875" style="1" bestFit="1" customWidth="1"/>
    <col min="7" max="7" width="8.88671875" style="1"/>
    <col min="8" max="8" width="9.5546875" style="1" bestFit="1" customWidth="1"/>
    <col min="9" max="9" width="19.109375" style="1" bestFit="1" customWidth="1"/>
    <col min="10" max="11" width="8.88671875" style="1"/>
    <col min="12" max="12" width="19.44140625" style="1" bestFit="1" customWidth="1"/>
    <col min="13" max="13" width="25.77734375" style="1" bestFit="1" customWidth="1"/>
    <col min="14" max="14" width="35.6640625" style="1" bestFit="1" customWidth="1"/>
    <col min="15" max="15" width="29.44140625" style="1" bestFit="1" customWidth="1"/>
    <col min="16" max="16" width="23.109375" style="1" bestFit="1" customWidth="1"/>
    <col min="17" max="17" width="19.5546875" style="1" bestFit="1" customWidth="1"/>
    <col min="18" max="18" width="8.88671875" style="1"/>
    <col min="19" max="19" width="14.44140625" style="1" customWidth="1"/>
    <col min="20" max="20" width="32" style="1" bestFit="1" customWidth="1"/>
    <col min="21" max="16384" width="8.88671875" style="1"/>
  </cols>
  <sheetData>
    <row r="3" spans="2:20" ht="31.2" customHeight="1" thickBot="1" x14ac:dyDescent="0.35">
      <c r="B3" s="11" t="s">
        <v>0</v>
      </c>
      <c r="C3" s="11"/>
      <c r="D3" s="11"/>
    </row>
    <row r="4" spans="2:20" ht="15.6" thickTop="1" thickBot="1" x14ac:dyDescent="0.35">
      <c r="B4" s="12" t="s">
        <v>54</v>
      </c>
      <c r="C4" s="12"/>
      <c r="D4" s="12"/>
    </row>
    <row r="5" spans="2:20" ht="15.6" thickTop="1" thickBot="1" x14ac:dyDescent="0.35">
      <c r="B5" s="12"/>
      <c r="C5" s="12"/>
      <c r="D5" s="12"/>
    </row>
    <row r="6" spans="2:20" ht="15.6" thickTop="1" thickBot="1" x14ac:dyDescent="0.35">
      <c r="B6" s="12"/>
      <c r="C6" s="12"/>
      <c r="D6" s="12"/>
      <c r="F6" s="10" t="s">
        <v>1</v>
      </c>
      <c r="G6" s="10"/>
      <c r="H6" s="10"/>
      <c r="I6" s="10"/>
      <c r="J6" s="10"/>
    </row>
    <row r="7" spans="2:20" ht="34.200000000000003" customHeight="1" thickTop="1" thickBot="1" x14ac:dyDescent="0.45">
      <c r="B7" s="12"/>
      <c r="C7" s="12"/>
      <c r="D7" s="12"/>
      <c r="F7" s="10"/>
      <c r="G7" s="10"/>
      <c r="H7" s="10"/>
      <c r="I7" s="10"/>
      <c r="J7" s="10"/>
      <c r="L7" s="13" t="s">
        <v>28</v>
      </c>
      <c r="M7" s="13"/>
      <c r="N7" s="13"/>
      <c r="O7" s="13"/>
      <c r="P7" s="13"/>
      <c r="Q7" s="13"/>
      <c r="S7" s="10" t="s">
        <v>53</v>
      </c>
      <c r="T7" s="10"/>
    </row>
    <row r="8" spans="2:20" ht="15" thickTop="1" x14ac:dyDescent="0.3"/>
    <row r="9" spans="2:20" x14ac:dyDescent="0.3">
      <c r="B9" s="6" t="s">
        <v>45</v>
      </c>
      <c r="E9" s="2" t="s">
        <v>32</v>
      </c>
      <c r="F9" s="2" t="s">
        <v>2</v>
      </c>
      <c r="G9" s="2" t="s">
        <v>3</v>
      </c>
      <c r="I9" s="1" t="s">
        <v>42</v>
      </c>
      <c r="L9" s="3" t="s">
        <v>29</v>
      </c>
      <c r="M9" s="3" t="s">
        <v>30</v>
      </c>
      <c r="N9" s="4" t="s">
        <v>31</v>
      </c>
      <c r="O9" s="1" t="s">
        <v>37</v>
      </c>
      <c r="P9" s="1" t="s">
        <v>40</v>
      </c>
      <c r="Q9" s="1" t="s">
        <v>39</v>
      </c>
      <c r="S9" s="1" t="s">
        <v>52</v>
      </c>
      <c r="T9" s="1" t="s">
        <v>31</v>
      </c>
    </row>
    <row r="10" spans="2:20" x14ac:dyDescent="0.3">
      <c r="B10" s="6" t="s">
        <v>46</v>
      </c>
      <c r="E10" s="2" t="s">
        <v>33</v>
      </c>
      <c r="F10" s="2" t="s">
        <v>4</v>
      </c>
      <c r="G10" s="2">
        <v>3</v>
      </c>
      <c r="L10" s="1" t="s">
        <v>62</v>
      </c>
      <c r="M10" s="1" t="s">
        <v>46</v>
      </c>
      <c r="N10" s="14">
        <v>2.75</v>
      </c>
      <c r="O10" s="1">
        <v>2.4</v>
      </c>
      <c r="P10" s="1">
        <v>2.3333333333333335</v>
      </c>
      <c r="S10" s="1" t="s">
        <v>58</v>
      </c>
      <c r="T10" s="1">
        <v>2.75</v>
      </c>
    </row>
    <row r="11" spans="2:20" x14ac:dyDescent="0.3">
      <c r="B11" s="6" t="s">
        <v>47</v>
      </c>
      <c r="E11" s="2" t="s">
        <v>34</v>
      </c>
      <c r="F11" s="2" t="s">
        <v>5</v>
      </c>
      <c r="G11" s="2">
        <v>2</v>
      </c>
      <c r="L11" s="1" t="s">
        <v>66</v>
      </c>
      <c r="M11" s="1" t="s">
        <v>46</v>
      </c>
      <c r="N11" s="14">
        <v>1.875</v>
      </c>
      <c r="O11" s="1">
        <v>2</v>
      </c>
      <c r="P11" s="1">
        <v>1.6666666666666667</v>
      </c>
      <c r="S11" s="1" t="s">
        <v>56</v>
      </c>
      <c r="T11" s="1">
        <v>3</v>
      </c>
    </row>
    <row r="12" spans="2:20" x14ac:dyDescent="0.3">
      <c r="B12" s="6" t="s">
        <v>43</v>
      </c>
      <c r="E12" s="2" t="s">
        <v>33</v>
      </c>
      <c r="F12" s="2" t="s">
        <v>6</v>
      </c>
      <c r="G12" s="2">
        <v>3</v>
      </c>
      <c r="L12" s="1" t="s">
        <v>61</v>
      </c>
      <c r="M12" s="1" t="s">
        <v>46</v>
      </c>
      <c r="N12" s="14">
        <v>2.625</v>
      </c>
      <c r="O12" s="1">
        <v>2.8</v>
      </c>
      <c r="P12" s="1">
        <v>2.3333333333333335</v>
      </c>
      <c r="S12" s="1" t="s">
        <v>57</v>
      </c>
      <c r="T12" s="1">
        <v>3</v>
      </c>
    </row>
    <row r="13" spans="2:20" x14ac:dyDescent="0.3">
      <c r="E13" s="2" t="s">
        <v>34</v>
      </c>
      <c r="F13" s="2" t="s">
        <v>7</v>
      </c>
      <c r="G13" s="2">
        <v>3</v>
      </c>
      <c r="I13" s="2" t="s">
        <v>36</v>
      </c>
      <c r="J13" s="2">
        <f>AVERAGE(G10:G17)</f>
        <v>2.5</v>
      </c>
      <c r="L13" s="1" t="s">
        <v>65</v>
      </c>
      <c r="M13" s="1" t="s">
        <v>46</v>
      </c>
      <c r="N13" s="14">
        <v>2.125</v>
      </c>
      <c r="O13" s="1">
        <v>2</v>
      </c>
      <c r="P13" s="1">
        <v>2.3333333333333335</v>
      </c>
    </row>
    <row r="14" spans="2:20" x14ac:dyDescent="0.3">
      <c r="E14" s="2" t="s">
        <v>34</v>
      </c>
      <c r="F14" s="2" t="s">
        <v>8</v>
      </c>
      <c r="G14" s="2">
        <v>3</v>
      </c>
      <c r="I14" s="2" t="s">
        <v>38</v>
      </c>
      <c r="J14" s="2">
        <f>AVERAGEIF(E10:E17,"Training",G10:G17)</f>
        <v>2.6666666666666665</v>
      </c>
      <c r="L14" s="1" t="s">
        <v>71</v>
      </c>
      <c r="M14" s="1" t="s">
        <v>47</v>
      </c>
      <c r="N14" s="14">
        <v>2.5714285714285716</v>
      </c>
      <c r="O14" s="1">
        <v>2.5454545454545454</v>
      </c>
      <c r="P14" s="1">
        <v>3</v>
      </c>
      <c r="Q14" s="1">
        <v>2</v>
      </c>
    </row>
    <row r="15" spans="2:20" x14ac:dyDescent="0.3">
      <c r="E15" s="2" t="s">
        <v>34</v>
      </c>
      <c r="F15" s="2" t="s">
        <v>9</v>
      </c>
      <c r="G15" s="2">
        <v>2</v>
      </c>
      <c r="I15" s="2" t="s">
        <v>37</v>
      </c>
      <c r="J15" s="2">
        <f>AVERAGEIF(E10:E17,"Documentation",G10:G17)</f>
        <v>2.4</v>
      </c>
      <c r="L15" s="1" t="s">
        <v>44</v>
      </c>
      <c r="M15" s="1" t="s">
        <v>47</v>
      </c>
      <c r="N15" s="14">
        <v>2.7142857142857144</v>
      </c>
      <c r="O15" s="1">
        <v>2.7272727272727271</v>
      </c>
      <c r="P15" s="1">
        <v>3</v>
      </c>
      <c r="Q15" s="1">
        <v>2</v>
      </c>
    </row>
    <row r="16" spans="2:20" x14ac:dyDescent="0.3">
      <c r="E16" s="2" t="s">
        <v>33</v>
      </c>
      <c r="F16" s="2" t="s">
        <v>10</v>
      </c>
      <c r="G16" s="2">
        <v>2</v>
      </c>
      <c r="L16" s="1" t="s">
        <v>69</v>
      </c>
      <c r="M16" s="1" t="s">
        <v>46</v>
      </c>
      <c r="N16" s="14">
        <v>2.5</v>
      </c>
      <c r="O16" s="1">
        <v>2.4</v>
      </c>
      <c r="P16" s="1">
        <v>2.6666666666666665</v>
      </c>
    </row>
    <row r="17" spans="2:17" x14ac:dyDescent="0.3">
      <c r="E17" s="2" t="s">
        <v>34</v>
      </c>
      <c r="F17" s="2" t="s">
        <v>11</v>
      </c>
      <c r="G17" s="2">
        <v>2</v>
      </c>
      <c r="L17" s="1" t="s">
        <v>68</v>
      </c>
      <c r="M17" s="1" t="s">
        <v>46</v>
      </c>
      <c r="N17" s="14">
        <v>1.875</v>
      </c>
      <c r="O17" s="1">
        <v>2.4</v>
      </c>
      <c r="P17" s="1">
        <v>1</v>
      </c>
    </row>
    <row r="18" spans="2:17" x14ac:dyDescent="0.3">
      <c r="B18" s="6" t="s">
        <v>55</v>
      </c>
      <c r="L18" s="1" t="s">
        <v>63</v>
      </c>
      <c r="M18" s="1" t="s">
        <v>46</v>
      </c>
      <c r="N18" s="14">
        <v>2</v>
      </c>
      <c r="O18" s="1">
        <v>2.2000000000000002</v>
      </c>
      <c r="P18" s="1">
        <v>1.6666666666666667</v>
      </c>
    </row>
    <row r="19" spans="2:17" x14ac:dyDescent="0.3">
      <c r="B19" s="6" t="s">
        <v>56</v>
      </c>
      <c r="E19" s="2" t="s">
        <v>32</v>
      </c>
      <c r="F19" s="2" t="s">
        <v>2</v>
      </c>
      <c r="G19" s="2" t="s">
        <v>3</v>
      </c>
      <c r="I19" s="1" t="s">
        <v>41</v>
      </c>
      <c r="L19" s="1" t="s">
        <v>64</v>
      </c>
      <c r="M19" s="1" t="s">
        <v>46</v>
      </c>
      <c r="N19" s="14">
        <v>2.125</v>
      </c>
      <c r="O19" s="1">
        <v>2.4</v>
      </c>
      <c r="P19" s="1">
        <v>1.6666666666666667</v>
      </c>
    </row>
    <row r="20" spans="2:17" x14ac:dyDescent="0.3">
      <c r="B20" s="6" t="s">
        <v>57</v>
      </c>
      <c r="E20" s="2" t="s">
        <v>33</v>
      </c>
      <c r="F20" s="2" t="s">
        <v>4</v>
      </c>
      <c r="G20" s="2">
        <v>3</v>
      </c>
      <c r="L20" s="1" t="s">
        <v>72</v>
      </c>
      <c r="M20" s="1" t="s">
        <v>43</v>
      </c>
      <c r="N20" s="14">
        <v>2.4761904761904763</v>
      </c>
      <c r="O20" s="1">
        <v>2.375</v>
      </c>
      <c r="P20" s="1">
        <v>2.4</v>
      </c>
      <c r="Q20" s="1">
        <v>2.625</v>
      </c>
    </row>
    <row r="21" spans="2:17" x14ac:dyDescent="0.3">
      <c r="B21" s="6" t="s">
        <v>58</v>
      </c>
      <c r="E21" s="2" t="s">
        <v>34</v>
      </c>
      <c r="F21" s="2" t="s">
        <v>5</v>
      </c>
      <c r="G21" s="2">
        <v>2</v>
      </c>
      <c r="L21" s="1" t="s">
        <v>67</v>
      </c>
      <c r="M21" s="1" t="s">
        <v>46</v>
      </c>
      <c r="N21" s="14">
        <v>1.25</v>
      </c>
      <c r="O21" s="1">
        <v>1</v>
      </c>
      <c r="P21" s="1">
        <v>1.6666666666666667</v>
      </c>
    </row>
    <row r="22" spans="2:17" x14ac:dyDescent="0.3">
      <c r="E22" s="2" t="s">
        <v>33</v>
      </c>
      <c r="F22" s="2" t="s">
        <v>12</v>
      </c>
      <c r="G22" s="2">
        <v>3</v>
      </c>
    </row>
    <row r="23" spans="2:17" x14ac:dyDescent="0.3">
      <c r="E23" s="2" t="s">
        <v>34</v>
      </c>
      <c r="F23" s="2" t="s">
        <v>13</v>
      </c>
      <c r="G23" s="2">
        <v>2</v>
      </c>
      <c r="I23" s="2" t="s">
        <v>18</v>
      </c>
      <c r="J23" s="2">
        <f>AVERAGE(G20:G33)</f>
        <v>2.7142857142857144</v>
      </c>
    </row>
    <row r="24" spans="2:17" x14ac:dyDescent="0.3">
      <c r="E24" s="2" t="s">
        <v>34</v>
      </c>
      <c r="F24" s="2" t="s">
        <v>6</v>
      </c>
      <c r="G24" s="2">
        <v>3</v>
      </c>
      <c r="I24" s="2" t="s">
        <v>37</v>
      </c>
      <c r="J24" s="2">
        <f>AVERAGEIF(E20:E33,"Documentation",G20:G33)</f>
        <v>2.7272727272727271</v>
      </c>
    </row>
    <row r="25" spans="2:17" x14ac:dyDescent="0.3">
      <c r="E25" s="2" t="s">
        <v>34</v>
      </c>
      <c r="F25" s="2" t="s">
        <v>7</v>
      </c>
      <c r="G25" s="2">
        <v>3</v>
      </c>
      <c r="I25" s="2" t="s">
        <v>38</v>
      </c>
      <c r="J25" s="2">
        <f>AVERAGEIF(E20:E33,"Training",G20:G33)</f>
        <v>3</v>
      </c>
    </row>
    <row r="26" spans="2:17" x14ac:dyDescent="0.3">
      <c r="E26" s="2" t="s">
        <v>34</v>
      </c>
      <c r="F26" s="2" t="s">
        <v>8</v>
      </c>
      <c r="G26" s="2">
        <v>3</v>
      </c>
      <c r="I26" s="2" t="s">
        <v>39</v>
      </c>
      <c r="J26" s="2">
        <f>AVERAGEIF(E20:E33,"Action",G20:G33)</f>
        <v>2</v>
      </c>
    </row>
    <row r="27" spans="2:17" x14ac:dyDescent="0.3">
      <c r="E27" s="2" t="s">
        <v>34</v>
      </c>
      <c r="F27" s="2" t="s">
        <v>14</v>
      </c>
      <c r="G27" s="2">
        <v>2</v>
      </c>
    </row>
    <row r="28" spans="2:17" x14ac:dyDescent="0.3">
      <c r="E28" s="2" t="s">
        <v>34</v>
      </c>
      <c r="F28" s="2" t="s">
        <v>9</v>
      </c>
      <c r="G28" s="2">
        <v>3</v>
      </c>
    </row>
    <row r="29" spans="2:17" x14ac:dyDescent="0.3">
      <c r="E29" s="2" t="s">
        <v>34</v>
      </c>
      <c r="F29" s="2" t="s">
        <v>10</v>
      </c>
      <c r="G29" s="2">
        <v>3</v>
      </c>
    </row>
    <row r="30" spans="2:17" x14ac:dyDescent="0.3">
      <c r="E30" s="2" t="s">
        <v>34</v>
      </c>
      <c r="F30" s="2" t="s">
        <v>11</v>
      </c>
      <c r="G30" s="2">
        <v>3</v>
      </c>
    </row>
    <row r="31" spans="2:17" x14ac:dyDescent="0.3">
      <c r="E31" s="2" t="s">
        <v>34</v>
      </c>
      <c r="F31" s="2" t="s">
        <v>15</v>
      </c>
      <c r="G31" s="2">
        <v>3</v>
      </c>
    </row>
    <row r="32" spans="2:17" x14ac:dyDescent="0.3">
      <c r="E32" s="2" t="s">
        <v>34</v>
      </c>
      <c r="F32" s="2" t="s">
        <v>16</v>
      </c>
      <c r="G32" s="2">
        <v>3</v>
      </c>
    </row>
    <row r="33" spans="5:10" x14ac:dyDescent="0.3">
      <c r="E33" s="2" t="s">
        <v>35</v>
      </c>
      <c r="F33" s="2" t="s">
        <v>17</v>
      </c>
      <c r="G33" s="2">
        <v>2</v>
      </c>
    </row>
    <row r="36" spans="5:10" x14ac:dyDescent="0.3">
      <c r="E36" s="2" t="s">
        <v>32</v>
      </c>
      <c r="F36" s="2" t="s">
        <v>2</v>
      </c>
      <c r="G36" s="2" t="s">
        <v>3</v>
      </c>
    </row>
    <row r="37" spans="5:10" x14ac:dyDescent="0.3">
      <c r="E37" s="2" t="s">
        <v>33</v>
      </c>
      <c r="F37" s="2" t="s">
        <v>4</v>
      </c>
      <c r="G37" s="2">
        <v>3</v>
      </c>
    </row>
    <row r="38" spans="5:10" x14ac:dyDescent="0.3">
      <c r="E38" s="2" t="s">
        <v>34</v>
      </c>
      <c r="F38" s="2" t="s">
        <v>5</v>
      </c>
      <c r="G38" s="2">
        <v>2</v>
      </c>
      <c r="I38" s="1" t="s">
        <v>43</v>
      </c>
    </row>
    <row r="39" spans="5:10" x14ac:dyDescent="0.3">
      <c r="E39" s="2" t="s">
        <v>35</v>
      </c>
      <c r="F39" s="2" t="s">
        <v>12</v>
      </c>
      <c r="G39" s="2">
        <v>3</v>
      </c>
    </row>
    <row r="40" spans="5:10" x14ac:dyDescent="0.3">
      <c r="E40" s="2" t="s">
        <v>33</v>
      </c>
      <c r="F40" s="2" t="s">
        <v>6</v>
      </c>
      <c r="G40" s="2">
        <v>2</v>
      </c>
      <c r="I40" s="2" t="s">
        <v>18</v>
      </c>
      <c r="J40" s="5">
        <f>AVERAGE(G37:G57)</f>
        <v>2.4761904761904763</v>
      </c>
    </row>
    <row r="41" spans="5:10" x14ac:dyDescent="0.3">
      <c r="E41" s="2" t="s">
        <v>34</v>
      </c>
      <c r="F41" s="2" t="s">
        <v>7</v>
      </c>
      <c r="G41" s="2">
        <v>2</v>
      </c>
      <c r="I41" s="2" t="s">
        <v>38</v>
      </c>
      <c r="J41" s="2">
        <f>AVERAGEIF(E37:E57,"Training",G37:G57)</f>
        <v>2.4</v>
      </c>
    </row>
    <row r="42" spans="5:10" x14ac:dyDescent="0.3">
      <c r="E42" s="2" t="s">
        <v>35</v>
      </c>
      <c r="F42" s="2" t="s">
        <v>8</v>
      </c>
      <c r="G42" s="2">
        <v>3</v>
      </c>
      <c r="I42" s="2" t="s">
        <v>37</v>
      </c>
      <c r="J42" s="2">
        <f>AVERAGEIF(E37:E57,"Documentation",G37:G57)</f>
        <v>2.375</v>
      </c>
    </row>
    <row r="43" spans="5:10" x14ac:dyDescent="0.3">
      <c r="E43" s="2" t="s">
        <v>33</v>
      </c>
      <c r="F43" s="2" t="s">
        <v>9</v>
      </c>
      <c r="G43" s="2">
        <v>2</v>
      </c>
      <c r="I43" s="2" t="s">
        <v>39</v>
      </c>
      <c r="J43" s="2">
        <f>AVERAGEIF(E37:E57,"Action",G37:G57)</f>
        <v>2.625</v>
      </c>
    </row>
    <row r="44" spans="5:10" x14ac:dyDescent="0.3">
      <c r="E44" s="2" t="s">
        <v>34</v>
      </c>
      <c r="F44" s="2" t="s">
        <v>10</v>
      </c>
      <c r="G44" s="2">
        <v>2</v>
      </c>
    </row>
    <row r="45" spans="5:10" x14ac:dyDescent="0.3">
      <c r="E45" s="2" t="s">
        <v>34</v>
      </c>
      <c r="F45" s="2" t="s">
        <v>11</v>
      </c>
      <c r="G45" s="2">
        <v>2</v>
      </c>
    </row>
    <row r="46" spans="5:10" x14ac:dyDescent="0.3">
      <c r="E46" s="2" t="s">
        <v>34</v>
      </c>
      <c r="F46" s="2" t="s">
        <v>15</v>
      </c>
      <c r="G46" s="2">
        <v>3</v>
      </c>
    </row>
    <row r="47" spans="5:10" x14ac:dyDescent="0.3">
      <c r="E47" s="2" t="s">
        <v>33</v>
      </c>
      <c r="F47" s="2" t="s">
        <v>16</v>
      </c>
      <c r="G47" s="2">
        <v>2</v>
      </c>
    </row>
    <row r="48" spans="5:10" x14ac:dyDescent="0.3">
      <c r="E48" s="2" t="s">
        <v>34</v>
      </c>
      <c r="F48" s="2" t="s">
        <v>17</v>
      </c>
      <c r="G48" s="2">
        <v>3</v>
      </c>
    </row>
    <row r="49" spans="4:9" x14ac:dyDescent="0.3">
      <c r="E49" s="2" t="s">
        <v>35</v>
      </c>
      <c r="F49" s="2" t="s">
        <v>19</v>
      </c>
      <c r="G49" s="2">
        <v>2</v>
      </c>
    </row>
    <row r="50" spans="4:9" x14ac:dyDescent="0.3">
      <c r="E50" s="2" t="s">
        <v>35</v>
      </c>
      <c r="F50" s="2" t="s">
        <v>20</v>
      </c>
      <c r="G50" s="2">
        <v>3</v>
      </c>
    </row>
    <row r="51" spans="4:9" x14ac:dyDescent="0.3">
      <c r="E51" s="2" t="s">
        <v>34</v>
      </c>
      <c r="F51" s="2" t="s">
        <v>21</v>
      </c>
      <c r="G51" s="2">
        <v>2</v>
      </c>
    </row>
    <row r="52" spans="4:9" x14ac:dyDescent="0.3">
      <c r="E52" s="2" t="s">
        <v>35</v>
      </c>
      <c r="F52" s="2" t="s">
        <v>22</v>
      </c>
      <c r="G52" s="2">
        <v>3</v>
      </c>
    </row>
    <row r="53" spans="4:9" x14ac:dyDescent="0.3">
      <c r="E53" s="2" t="s">
        <v>35</v>
      </c>
      <c r="F53" s="2" t="s">
        <v>23</v>
      </c>
      <c r="G53" s="2">
        <v>3</v>
      </c>
    </row>
    <row r="54" spans="4:9" x14ac:dyDescent="0.3">
      <c r="E54" s="2" t="s">
        <v>35</v>
      </c>
      <c r="F54" s="2" t="s">
        <v>24</v>
      </c>
      <c r="G54" s="2">
        <v>2</v>
      </c>
    </row>
    <row r="55" spans="4:9" x14ac:dyDescent="0.3">
      <c r="E55" s="2" t="s">
        <v>34</v>
      </c>
      <c r="F55" s="2" t="s">
        <v>25</v>
      </c>
      <c r="G55" s="2">
        <v>3</v>
      </c>
    </row>
    <row r="56" spans="4:9" x14ac:dyDescent="0.3">
      <c r="E56" s="2" t="s">
        <v>33</v>
      </c>
      <c r="F56" s="2" t="s">
        <v>26</v>
      </c>
      <c r="G56" s="2">
        <v>3</v>
      </c>
    </row>
    <row r="57" spans="4:9" x14ac:dyDescent="0.3">
      <c r="E57" s="2" t="s">
        <v>35</v>
      </c>
      <c r="F57" s="2" t="s">
        <v>27</v>
      </c>
      <c r="G57" s="2">
        <v>2</v>
      </c>
    </row>
    <row r="62" spans="4:9" ht="20.399999999999999" thickBot="1" x14ac:dyDescent="0.45">
      <c r="E62" s="10" t="s">
        <v>59</v>
      </c>
      <c r="F62" s="10"/>
      <c r="G62" s="10"/>
      <c r="H62" s="10"/>
      <c r="I62" s="10"/>
    </row>
    <row r="63" spans="4:9" ht="15" thickTop="1" x14ac:dyDescent="0.3"/>
    <row r="64" spans="4:9" x14ac:dyDescent="0.3">
      <c r="D64" s="9" t="s">
        <v>58</v>
      </c>
      <c r="E64" s="2" t="s">
        <v>2</v>
      </c>
      <c r="F64" s="2" t="s">
        <v>3</v>
      </c>
      <c r="H64" s="9" t="s">
        <v>60</v>
      </c>
    </row>
    <row r="65" spans="4:8" x14ac:dyDescent="0.3">
      <c r="E65" s="2">
        <v>1</v>
      </c>
      <c r="F65" s="2">
        <v>3</v>
      </c>
      <c r="H65" s="1">
        <f>AVERAGE(F65:F68)</f>
        <v>2.75</v>
      </c>
    </row>
    <row r="66" spans="4:8" x14ac:dyDescent="0.3">
      <c r="E66" s="2">
        <v>2</v>
      </c>
      <c r="F66" s="2">
        <v>2</v>
      </c>
    </row>
    <row r="67" spans="4:8" x14ac:dyDescent="0.3">
      <c r="E67" s="2">
        <v>3</v>
      </c>
      <c r="F67" s="2">
        <v>3</v>
      </c>
    </row>
    <row r="68" spans="4:8" x14ac:dyDescent="0.3">
      <c r="E68" s="2">
        <v>4</v>
      </c>
      <c r="F68" s="2">
        <v>3</v>
      </c>
    </row>
    <row r="70" spans="4:8" x14ac:dyDescent="0.3">
      <c r="D70" s="9" t="s">
        <v>56</v>
      </c>
      <c r="E70" s="2" t="s">
        <v>2</v>
      </c>
      <c r="F70" s="2" t="s">
        <v>3</v>
      </c>
      <c r="H70" s="9" t="s">
        <v>60</v>
      </c>
    </row>
    <row r="71" spans="4:8" x14ac:dyDescent="0.3">
      <c r="E71" s="2">
        <v>1</v>
      </c>
      <c r="F71" s="2">
        <v>3</v>
      </c>
      <c r="H71" s="1">
        <f>AVERAGE(F71:F74)</f>
        <v>2.5</v>
      </c>
    </row>
    <row r="72" spans="4:8" x14ac:dyDescent="0.3">
      <c r="E72" s="2">
        <v>2</v>
      </c>
      <c r="F72" s="2">
        <v>2</v>
      </c>
    </row>
    <row r="73" spans="4:8" x14ac:dyDescent="0.3">
      <c r="E73" s="2">
        <v>3</v>
      </c>
      <c r="F73" s="2">
        <v>3</v>
      </c>
    </row>
    <row r="74" spans="4:8" x14ac:dyDescent="0.3">
      <c r="E74" s="2">
        <v>4</v>
      </c>
      <c r="F74" s="2">
        <v>2</v>
      </c>
    </row>
    <row r="76" spans="4:8" x14ac:dyDescent="0.3">
      <c r="D76" s="9" t="s">
        <v>57</v>
      </c>
      <c r="E76" s="2" t="s">
        <v>2</v>
      </c>
      <c r="F76" s="2" t="s">
        <v>3</v>
      </c>
      <c r="H76" s="9" t="s">
        <v>60</v>
      </c>
    </row>
    <row r="77" spans="4:8" x14ac:dyDescent="0.3">
      <c r="E77" s="2">
        <v>1</v>
      </c>
      <c r="F77" s="2">
        <v>3</v>
      </c>
      <c r="H77" s="1">
        <f>AVERAGE(F77:F80)</f>
        <v>3</v>
      </c>
    </row>
    <row r="78" spans="4:8" x14ac:dyDescent="0.3">
      <c r="E78" s="2">
        <v>2</v>
      </c>
      <c r="F78" s="2">
        <v>2</v>
      </c>
    </row>
    <row r="79" spans="4:8" x14ac:dyDescent="0.3">
      <c r="E79" s="2">
        <v>3</v>
      </c>
      <c r="F79" s="2">
        <v>3</v>
      </c>
    </row>
    <row r="80" spans="4:8" x14ac:dyDescent="0.3">
      <c r="E80" s="2">
        <v>4</v>
      </c>
      <c r="F80" s="2">
        <v>4</v>
      </c>
    </row>
  </sheetData>
  <mergeCells count="6">
    <mergeCell ref="S7:T7"/>
    <mergeCell ref="E62:I62"/>
    <mergeCell ref="B3:D3"/>
    <mergeCell ref="B4:D7"/>
    <mergeCell ref="F6:J7"/>
    <mergeCell ref="L7:Q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mandButton4">
          <controlPr defaultSize="0" autoLine="0" r:id="rId5">
            <anchor moveWithCells="1">
              <from>
                <xdr:col>8</xdr:col>
                <xdr:colOff>45720</xdr:colOff>
                <xdr:row>1</xdr:row>
                <xdr:rowOff>175260</xdr:rowOff>
              </from>
              <to>
                <xdr:col>10</xdr:col>
                <xdr:colOff>312420</xdr:colOff>
                <xdr:row>4</xdr:row>
                <xdr:rowOff>38100</xdr:rowOff>
              </to>
            </anchor>
          </controlPr>
        </control>
      </mc:Choice>
      <mc:Fallback>
        <control shapeId="1031" r:id="rId4" name="CommandButton4"/>
      </mc:Fallback>
    </mc:AlternateContent>
    <mc:AlternateContent xmlns:mc="http://schemas.openxmlformats.org/markup-compatibility/2006">
      <mc:Choice Requires="x14">
        <control shapeId="1032" r:id="rId6" name="CommandButton1">
          <controlPr defaultSize="0" autoLine="0" r:id="rId7">
            <anchor moveWithCells="1">
              <from>
                <xdr:col>16</xdr:col>
                <xdr:colOff>426720</xdr:colOff>
                <xdr:row>2</xdr:row>
                <xdr:rowOff>68580</xdr:rowOff>
              </from>
              <to>
                <xdr:col>18</xdr:col>
                <xdr:colOff>152400</xdr:colOff>
                <xdr:row>4</xdr:row>
                <xdr:rowOff>144780</xdr:rowOff>
              </to>
            </anchor>
          </controlPr>
        </control>
      </mc:Choice>
      <mc:Fallback>
        <control shapeId="1032" r:id="rId6" name="CommandButton1"/>
      </mc:Fallback>
    </mc:AlternateContent>
  </controls>
  <tableParts count="3"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52170-C4F3-4F5E-BE49-960223952B98}">
  <sheetPr codeName="Sheet3"/>
  <dimension ref="A3:D13"/>
  <sheetViews>
    <sheetView workbookViewId="0">
      <selection activeCell="D21" sqref="D21"/>
    </sheetView>
  </sheetViews>
  <sheetFormatPr defaultRowHeight="14.4" x14ac:dyDescent="0.3"/>
  <cols>
    <col min="1" max="1" width="15.5546875" bestFit="1" customWidth="1"/>
    <col min="2" max="2" width="18.44140625" bestFit="1" customWidth="1"/>
    <col min="3" max="3" width="24.44140625" bestFit="1" customWidth="1"/>
    <col min="4" max="4" width="29.33203125" bestFit="1" customWidth="1"/>
  </cols>
  <sheetData>
    <row r="3" spans="1:4" x14ac:dyDescent="0.3">
      <c r="A3" s="7" t="s">
        <v>48</v>
      </c>
      <c r="B3" t="s">
        <v>50</v>
      </c>
      <c r="C3" t="s">
        <v>51</v>
      </c>
      <c r="D3" t="s">
        <v>70</v>
      </c>
    </row>
    <row r="4" spans="1:4" x14ac:dyDescent="0.3">
      <c r="A4" s="8" t="s">
        <v>67</v>
      </c>
      <c r="B4">
        <v>1.6666666666666667</v>
      </c>
      <c r="C4">
        <v>1</v>
      </c>
      <c r="D4">
        <v>1.25</v>
      </c>
    </row>
    <row r="5" spans="1:4" x14ac:dyDescent="0.3">
      <c r="A5" s="8" t="s">
        <v>64</v>
      </c>
      <c r="B5">
        <v>1.6666666666666667</v>
      </c>
      <c r="C5">
        <v>2.4</v>
      </c>
      <c r="D5">
        <v>2.125</v>
      </c>
    </row>
    <row r="6" spans="1:4" x14ac:dyDescent="0.3">
      <c r="A6" s="8" t="s">
        <v>63</v>
      </c>
      <c r="B6">
        <v>1.6666666666666667</v>
      </c>
      <c r="C6">
        <v>2.2000000000000002</v>
      </c>
      <c r="D6">
        <v>2</v>
      </c>
    </row>
    <row r="7" spans="1:4" x14ac:dyDescent="0.3">
      <c r="A7" s="8" t="s">
        <v>68</v>
      </c>
      <c r="B7">
        <v>1</v>
      </c>
      <c r="C7">
        <v>2.4</v>
      </c>
      <c r="D7">
        <v>1.875</v>
      </c>
    </row>
    <row r="8" spans="1:4" x14ac:dyDescent="0.3">
      <c r="A8" s="8" t="s">
        <v>69</v>
      </c>
      <c r="B8">
        <v>2.6666666666666665</v>
      </c>
      <c r="C8">
        <v>2.4</v>
      </c>
      <c r="D8">
        <v>2.5</v>
      </c>
    </row>
    <row r="9" spans="1:4" x14ac:dyDescent="0.3">
      <c r="A9" s="8" t="s">
        <v>65</v>
      </c>
      <c r="B9">
        <v>2.3333333333333335</v>
      </c>
      <c r="C9">
        <v>2</v>
      </c>
      <c r="D9">
        <v>2.125</v>
      </c>
    </row>
    <row r="10" spans="1:4" x14ac:dyDescent="0.3">
      <c r="A10" s="8" t="s">
        <v>61</v>
      </c>
      <c r="B10">
        <v>2.3333333333333335</v>
      </c>
      <c r="C10">
        <v>2.8</v>
      </c>
      <c r="D10">
        <v>2.625</v>
      </c>
    </row>
    <row r="11" spans="1:4" x14ac:dyDescent="0.3">
      <c r="A11" s="8" t="s">
        <v>66</v>
      </c>
      <c r="B11">
        <v>1.6666666666666667</v>
      </c>
      <c r="C11">
        <v>2</v>
      </c>
      <c r="D11">
        <v>1.875</v>
      </c>
    </row>
    <row r="12" spans="1:4" x14ac:dyDescent="0.3">
      <c r="A12" s="8" t="s">
        <v>62</v>
      </c>
      <c r="B12">
        <v>2.3333333333333335</v>
      </c>
      <c r="C12">
        <v>2.4</v>
      </c>
      <c r="D12">
        <v>2.375</v>
      </c>
    </row>
    <row r="13" spans="1:4" x14ac:dyDescent="0.3">
      <c r="A13" s="8" t="s">
        <v>49</v>
      </c>
      <c r="B13">
        <v>1</v>
      </c>
      <c r="C13">
        <v>1</v>
      </c>
      <c r="D13">
        <v>2.0833333333333335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878988a-a43f-4cfb-b1d8-61159ea923f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ECCA62A4A72240AB0133B84F91C0FC" ma:contentTypeVersion="18" ma:contentTypeDescription="Create a new document." ma:contentTypeScope="" ma:versionID="01c97febaf053126c344a35447faed66">
  <xsd:schema xmlns:xsd="http://www.w3.org/2001/XMLSchema" xmlns:xs="http://www.w3.org/2001/XMLSchema" xmlns:p="http://schemas.microsoft.com/office/2006/metadata/properties" xmlns:ns3="1eea230b-dfae-45bd-bff8-e155b1fa7c37" xmlns:ns4="a878988a-a43f-4cfb-b1d8-61159ea923fb" targetNamespace="http://schemas.microsoft.com/office/2006/metadata/properties" ma:root="true" ma:fieldsID="62814118bd73cae0f18a6ef312e2f51c" ns3:_="" ns4:_="">
    <xsd:import namespace="1eea230b-dfae-45bd-bff8-e155b1fa7c37"/>
    <xsd:import namespace="a878988a-a43f-4cfb-b1d8-61159ea923f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LengthInSeconds" minOccurs="0"/>
                <xsd:element ref="ns4:MediaServiceLocatio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ea230b-dfae-45bd-bff8-e155b1fa7c3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78988a-a43f-4cfb-b1d8-61159ea923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25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51255D-4FC0-4B45-8809-52FF8AB8D5D1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1eea230b-dfae-45bd-bff8-e155b1fa7c37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a878988a-a43f-4cfb-b1d8-61159ea923fb"/>
  </ds:schemaRefs>
</ds:datastoreItem>
</file>

<file path=customXml/itemProps2.xml><?xml version="1.0" encoding="utf-8"?>
<ds:datastoreItem xmlns:ds="http://schemas.openxmlformats.org/officeDocument/2006/customXml" ds:itemID="{07A17ADB-EF1D-4519-BC86-AE3BD252B24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C8039F5-A462-4090-8E5B-B9172D8BA4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ea230b-dfae-45bd-bff8-e155b1fa7c37"/>
    <ds:schemaRef ds:uri="a878988a-a43f-4cfb-b1d8-61159ea923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Welcome!</vt:lpstr>
      <vt:lpstr>Pivot Table Private Ind.</vt:lpstr>
      <vt:lpstr>Roles</vt:lpstr>
      <vt:lpstr>Roles1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Demandel, Israel</dc:creator>
  <cp:lastModifiedBy>Demandel, Israel</cp:lastModifiedBy>
  <dcterms:created xsi:type="dcterms:W3CDTF">2024-06-11T22:45:42Z</dcterms:created>
  <dcterms:modified xsi:type="dcterms:W3CDTF">2024-06-23T01:34:37Z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0x0101005AECCA62A4A72240AB0133B84F91C0FC</vt:lpwstr>
  </property>
</Properties>
</file>